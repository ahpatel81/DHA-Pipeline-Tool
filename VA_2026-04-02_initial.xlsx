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_2026-04-02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'VA_2026-04-02'!$A$1:$T$1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  <fill>
      <patternFill patternType="solid">
        <fgColor rgb="00FCE4D6"/>
      </patternFill>
    </fill>
    <fill>
      <patternFill patternType="solid">
        <fgColor rgb="00FFE0B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0" customWidth="1" min="3" max="3"/>
    <col width="8" customWidth="1" min="4" max="4"/>
    <col width="12" customWidth="1" min="5" max="5"/>
    <col width="14" customWidth="1" min="6" max="6"/>
    <col width="24" customWidth="1" min="7" max="7"/>
    <col width="40" customWidth="1" min="8" max="8"/>
    <col width="16" customWidth="1" min="9" max="9"/>
    <col width="12" customWidth="1" min="10" max="10"/>
    <col width="28" customWidth="1" min="11" max="11"/>
    <col width="16" customWidth="1" min="12" max="12"/>
    <col width="44" customWidth="1" min="13" max="13"/>
    <col width="36" customWidth="1" min="14" max="14"/>
    <col width="14" customWidth="1" min="15" max="15"/>
    <col width="40" customWidth="1" min="16" max="16"/>
    <col width="44" customWidth="1" min="17" max="17"/>
    <col width="44" customWidth="1" min="18" max="18"/>
    <col width="48" customWidth="1" min="19" max="19"/>
    <col width="48" customWidth="1" min="20" max="20"/>
  </cols>
  <sheetData>
    <row r="1" ht="28" customHeight="1">
      <c r="A1" s="1" t="inlineStr">
        <is>
          <t>Contract Title</t>
        </is>
      </c>
      <c r="B1" s="1" t="inlineStr">
        <is>
          <t>Contract ID</t>
        </is>
      </c>
      <c r="C1" s="1" t="inlineStr">
        <is>
          <t>Value ($M)</t>
        </is>
      </c>
      <c r="D1" s="1" t="inlineStr">
        <is>
          <t>Bidders</t>
        </is>
      </c>
      <c r="E1" s="1" t="inlineStr">
        <is>
          <t>Agency</t>
        </is>
      </c>
      <c r="F1" s="1" t="inlineStr">
        <is>
          <t>Date Retrieved</t>
        </is>
      </c>
      <c r="G1" s="1" t="inlineStr">
        <is>
          <t>Incumbent</t>
        </is>
      </c>
      <c r="H1" s="1" t="inlineStr">
        <is>
          <t>Incumbent Notes</t>
        </is>
      </c>
      <c r="I1" s="1" t="inlineStr">
        <is>
          <t>Contract Type</t>
        </is>
      </c>
      <c r="J1" s="1" t="inlineStr">
        <is>
          <t>NAICS Code</t>
        </is>
      </c>
      <c r="K1" s="1" t="inlineStr">
        <is>
          <t>NAICS Description</t>
        </is>
      </c>
      <c r="L1" s="1" t="inlineStr">
        <is>
          <t>Set-Aside</t>
        </is>
      </c>
      <c r="M1" s="1" t="inlineStr">
        <is>
          <t>USASpending Note</t>
        </is>
      </c>
      <c r="N1" s="1" t="inlineStr">
        <is>
          <t>SAM.gov Note</t>
        </is>
      </c>
      <c r="O1" s="1" t="inlineStr">
        <is>
          <t>Recompete Risk</t>
        </is>
      </c>
      <c r="P1" s="1" t="inlineStr">
        <is>
          <t>Recompete Rationale</t>
        </is>
      </c>
      <c r="Q1" s="1" t="inlineStr">
        <is>
          <t>Related News</t>
        </is>
      </c>
      <c r="R1" s="1" t="inlineStr">
        <is>
          <t>Capture Actions</t>
        </is>
      </c>
      <c r="S1" s="1" t="inlineStr">
        <is>
          <t>HigherGov Link</t>
        </is>
      </c>
      <c r="T1" s="1" t="inlineStr">
        <is>
          <t>USASpending Link</t>
        </is>
      </c>
    </row>
    <row r="2" ht="72" customHeight="1">
      <c r="A2" s="2" t="inlineStr">
        <is>
          <t>VA ZERO TRUST ARCHITECTURE ACCELERATION</t>
        </is>
      </c>
      <c r="B2" s="2" t="inlineStr">
        <is>
          <t>VA11816D1025-36C10B23N10250025</t>
        </is>
      </c>
      <c r="C2" s="2" t="n">
        <v>24.1</v>
      </c>
      <c r="D2" s="2" t="n">
        <v>11</v>
      </c>
      <c r="E2" s="2" t="inlineStr">
        <is>
          <t>VA</t>
        </is>
      </c>
      <c r="F2" s="2" t="inlineStr">
        <is>
          <t>2026-04-02</t>
        </is>
      </c>
      <c r="G2" s="2" t="inlineStr">
        <is>
          <t>Leidos / Booz Allen Hamilton (likely)</t>
        </is>
      </c>
      <c r="H2" s="2" t="inlineStr">
        <is>
          <t>Multiple large VA IT incumbents compete for zero trust work; Booz Allen and Leidos have strong VA cybersecurity footprints.</t>
        </is>
      </c>
      <c r="I2" s="2" t="inlineStr">
        <is>
          <t>Task Order</t>
        </is>
      </c>
      <c r="J2" s="2" t="inlineStr">
        <is>
          <t>541512</t>
        </is>
      </c>
      <c r="K2" s="2" t="inlineStr">
        <is>
          <t>Computer Systems Design Services</t>
        </is>
      </c>
      <c r="L2" s="2" t="inlineStr">
        <is>
          <t>Full and Open</t>
        </is>
      </c>
      <c r="M2" s="2" t="inlineStr">
        <is>
          <t>Search contract ID on USASpending to verify obligated vs. $24.1M ceiling; look for any ceiling modifications.</t>
        </is>
      </c>
      <c r="N2" s="2" t="inlineStr">
        <is>
          <t>Check SAM.gov for solicitation 36C10B23N10250025; PWS likely posted with the award.</t>
        </is>
      </c>
      <c r="O2" s="3" t="inlineStr">
        <is>
          <t>High</t>
        </is>
      </c>
      <c r="P2" s="2" t="inlineStr">
        <is>
          <t>11 bidders indicates intense competition; zero trust is a hot DoD/VA priority drawing maximum industry attention.</t>
        </is>
      </c>
      <c r="Q2" s="2" t="inlineStr">
        <is>
          <t>VA has publicly committed to zero trust architecture per EO 14028; multiple budget exhibits reference ZTA acceleration.</t>
        </is>
      </c>
      <c r="R2" s="2" t="inlineStr">
        <is>
          <t>1. Pull the PWS from SAM.gov and map requirements to Verve capabilities.
2. Identify teaming partners with VA zero trust past performance.</t>
        </is>
      </c>
      <c r="S2" s="2" t="inlineStr">
        <is>
          <t>https://www.highergov.com/contract/VA11816D1025-36C10B23N10250025/?ref=os</t>
        </is>
      </c>
      <c r="T2" s="2" t="inlineStr">
        <is>
          <t>https://www.usaspending.gov/search/?query=VA11816D1025-36C10B23N10250025</t>
        </is>
      </c>
    </row>
    <row r="3" ht="72" customHeight="1">
      <c r="A3" s="4" t="inlineStr">
        <is>
          <t>VA OPERATIONS SUPPORT AND SECURITY COMPLIANCE FOR THE HEALTH SERVICES PORTFOLIO</t>
        </is>
      </c>
      <c r="B3" s="4" t="inlineStr">
        <is>
          <t>VA11816D1015-36C10B21N10150057</t>
        </is>
      </c>
      <c r="C3" s="4" t="n">
        <v>698.4</v>
      </c>
      <c r="D3" s="4" t="n">
        <v>8</v>
      </c>
      <c r="E3" s="4" t="inlineStr">
        <is>
          <t>VA</t>
        </is>
      </c>
      <c r="F3" s="4" t="inlineStr">
        <is>
          <t>2026-04-02</t>
        </is>
      </c>
      <c r="G3" s="4" t="inlineStr">
        <is>
          <t>Leidos or DXC Technology (likely)</t>
        </is>
      </c>
      <c r="H3" s="4" t="inlineStr">
        <is>
          <t>One of the largest VA IT contracts; major systems integrators with VA health portfolio experience dominate.</t>
        </is>
      </c>
      <c r="I3" s="4" t="inlineStr">
        <is>
          <t>Task Order (IDIQ)</t>
        </is>
      </c>
      <c r="J3" s="4" t="inlineStr">
        <is>
          <t>541512</t>
        </is>
      </c>
      <c r="K3" s="4" t="inlineStr">
        <is>
          <t>Computer Systems Design Services</t>
        </is>
      </c>
      <c r="L3" s="4" t="inlineStr">
        <is>
          <t>Full and Open</t>
        </is>
      </c>
      <c r="M3" s="4" t="inlineStr">
        <is>
          <t>At $698.4M this is a flagship contract; USASpending should show substantial annual obligations. Check ceiling vs. obligated gap.</t>
        </is>
      </c>
      <c r="N3" s="4" t="inlineStr">
        <is>
          <t>Search parent IDIQ VA11816D1015 and task order 36C10B21N10150057 on SAM.gov.</t>
        </is>
      </c>
      <c r="O3" s="3" t="inlineStr">
        <is>
          <t>High</t>
        </is>
      </c>
      <c r="P3" s="4" t="inlineStr">
        <is>
          <t>$698M value and 8 bidders ensures aggressive competition; incumbent will defend hard.</t>
        </is>
      </c>
      <c r="Q3" s="4" t="inlineStr">
        <is>
          <t>VA Health Services Portfolio tied to VistA modernization and Oracle Cerner transition; follow VA OIT press releases.</t>
        </is>
      </c>
      <c r="R3" s="4" t="inlineStr">
        <is>
          <t>1. Identify all subcontractors on the current award via USASpending.
2. Begin teaming outreach to potential primes 18 months before expiration.</t>
        </is>
      </c>
      <c r="S3" s="4" t="inlineStr">
        <is>
          <t>https://www.highergov.com/contract/VA11816D1015-36C10B21N10150057/?ref=os</t>
        </is>
      </c>
      <c r="T3" s="4" t="inlineStr">
        <is>
          <t>https://www.usaspending.gov/search/?query=VA11816D1015-36C10B21N10150057</t>
        </is>
      </c>
    </row>
    <row r="4" ht="72" customHeight="1">
      <c r="A4" s="2" t="inlineStr">
        <is>
          <t>VA TRANSFORMATION SUPPORT SERVICES 2.0</t>
        </is>
      </c>
      <c r="B4" s="2" t="inlineStr">
        <is>
          <t>GS35F386DA-36C10B25F0043</t>
        </is>
      </c>
      <c r="C4" s="2" t="n">
        <v>316.5</v>
      </c>
      <c r="D4" s="2" t="n">
        <v>8</v>
      </c>
      <c r="E4" s="2" t="inlineStr">
        <is>
          <t>VA</t>
        </is>
      </c>
      <c r="F4" s="2" t="inlineStr">
        <is>
          <t>2026-04-02</t>
        </is>
      </c>
      <c r="G4" s="2" t="inlineStr">
        <is>
          <t>Accenture Federal Services or similar large SI</t>
        </is>
      </c>
      <c r="H4" s="2" t="inlineStr">
        <is>
          <t>Transformation support at scale typically goes to large management/IT consulting firms with VA change management experience.</t>
        </is>
      </c>
      <c r="I4" s="2" t="inlineStr">
        <is>
          <t>Task Order (GSA Schedule)</t>
        </is>
      </c>
      <c r="J4" s="2" t="inlineStr">
        <is>
          <t>541611</t>
        </is>
      </c>
      <c r="K4" s="2" t="inlineStr">
        <is>
          <t>Administrative Management Consulting</t>
        </is>
      </c>
      <c r="L4" s="2" t="inlineStr">
        <is>
          <t>Full and Open</t>
        </is>
      </c>
      <c r="M4" s="2" t="inlineStr">
        <is>
          <t>Parent contract GS35F386DA is a GSA Schedule vehicle; USASpending will show the task order value and obligated amounts.</t>
        </is>
      </c>
      <c r="N4" s="2" t="inlineStr">
        <is>
          <t>GSA Schedule task orders may not have full solicitation docs on SAM; contact the CO for the PWS.</t>
        </is>
      </c>
      <c r="O4" s="3" t="inlineStr">
        <is>
          <t>High</t>
        </is>
      </c>
      <c r="P4" s="2" t="inlineStr">
        <is>
          <t>8 bidders and $316M value make this highly competitive; 'version 2.0' implies a mature, contested program.</t>
        </is>
      </c>
      <c r="Q4" s="2" t="inlineStr">
        <is>
          <t>VA transformation initiatives frequently cited in GAO reports and congressional hearings on VA modernization.</t>
        </is>
      </c>
      <c r="R4" s="2" t="inlineStr">
        <is>
          <t>1. Research what TSS 1.0 covered to anticipate scope changes.
2. Position subcontracting under the eventual prime.</t>
        </is>
      </c>
      <c r="S4" s="2" t="inlineStr">
        <is>
          <t>https://www.highergov.com/contract/GS35F386DA-36C10B25F0043/?ref=os</t>
        </is>
      </c>
      <c r="T4" s="2" t="inlineStr">
        <is>
          <t>https://www.usaspending.gov/search/?query=GS35F386DA-36C10B25F0043</t>
        </is>
      </c>
    </row>
    <row r="5" ht="72" customHeight="1">
      <c r="A5" s="4" t="inlineStr">
        <is>
          <t>VA VBA SOLUTIONS DELIVERY CENTER OF EXCELLENCE (COE)</t>
        </is>
      </c>
      <c r="B5" s="4" t="inlineStr">
        <is>
          <t>VA11816D1024-36C10B22N10240023</t>
        </is>
      </c>
      <c r="C5" s="4" t="n">
        <v>61.3</v>
      </c>
      <c r="D5" s="4" t="n">
        <v>7</v>
      </c>
      <c r="E5" s="4" t="inlineStr">
        <is>
          <t>VA</t>
        </is>
      </c>
      <c r="F5" s="4" t="inlineStr">
        <is>
          <t>2026-04-02</t>
        </is>
      </c>
      <c r="G5" s="4" t="inlineStr">
        <is>
          <t>SAIC or Peraton (likely)</t>
        </is>
      </c>
      <c r="H5" s="4" t="inlineStr">
        <is>
          <t>VBA-focused IT delivery centers often feature mid-tier defense IT firms with benefits processing system experience.</t>
        </is>
      </c>
      <c r="I5" s="4" t="inlineStr">
        <is>
          <t>Task Order</t>
        </is>
      </c>
      <c r="J5" s="4" t="inlineStr">
        <is>
          <t>541512</t>
        </is>
      </c>
      <c r="K5" s="4" t="inlineStr">
        <is>
          <t>Computer Systems Design Services</t>
        </is>
      </c>
      <c r="L5" s="4" t="inlineStr">
        <is>
          <t>Full and Open</t>
        </is>
      </c>
      <c r="M5" s="4" t="inlineStr">
        <is>
          <t>Verify obligated vs. $61.3M ceiling; VBA task orders often have high utilization rates.</t>
        </is>
      </c>
      <c r="N5" s="4" t="inlineStr">
        <is>
          <t>Search solicitation 36C10B22N10240023 on SAM.gov for SOW and evaluation criteria.</t>
        </is>
      </c>
      <c r="O5" s="5" t="inlineStr">
        <is>
          <t>Medium-High</t>
        </is>
      </c>
      <c r="P5" s="4" t="inlineStr">
        <is>
          <t>7 bidders is competitive but COE-type work often has sticky incumbents due to deep institutional knowledge.</t>
        </is>
      </c>
      <c r="Q5" s="4" t="inlineStr">
        <is>
          <t>VBA has been under congressional scrutiny for claims processing backlogs; IT support contracts are politically sensitive.</t>
        </is>
      </c>
      <c r="R5" s="4" t="inlineStr">
        <is>
          <t>1. Assess Verve's VBA/benefits processing experience.
2. Identify current incumbent's key personnel for teaming or competitive intel.</t>
        </is>
      </c>
      <c r="S5" s="4" t="inlineStr">
        <is>
          <t>https://www.highergov.com/contract/VA11816D1024-36C10B22N10240023/?ref=os</t>
        </is>
      </c>
      <c r="T5" s="4" t="inlineStr">
        <is>
          <t>https://www.usaspending.gov/search/?query=VA11816D1024-36C10B22N10240023</t>
        </is>
      </c>
    </row>
    <row r="6" ht="72" customHeight="1">
      <c r="A6" s="2" t="inlineStr">
        <is>
          <t>VA LIGHT ELECTRONIC ACTION FRAMEWORK (LEAF)</t>
        </is>
      </c>
      <c r="B6" s="2" t="inlineStr">
        <is>
          <t>VA11816D1014-36C10B24N10140047</t>
        </is>
      </c>
      <c r="C6" s="2" t="n">
        <v>5.8</v>
      </c>
      <c r="D6" s="2" t="n">
        <v>7</v>
      </c>
      <c r="E6" s="2" t="inlineStr">
        <is>
          <t>VA</t>
        </is>
      </c>
      <c r="F6" s="2" t="inlineStr">
        <is>
          <t>2026-04-02</t>
        </is>
      </c>
      <c r="G6" s="2" t="inlineStr">
        <is>
          <t>Smaller IT firm with workflow automation focus</t>
        </is>
      </c>
      <c r="H6" s="2" t="inlineStr">
        <is>
          <t>LEAF is a VA workflow/forms automation tool; incumbent likely a small-to-mid IT firm with forms management expertise.</t>
        </is>
      </c>
      <c r="I6" s="2" t="inlineStr">
        <is>
          <t>Task Order</t>
        </is>
      </c>
      <c r="J6" s="2" t="inlineStr">
        <is>
          <t>541519</t>
        </is>
      </c>
      <c r="K6" s="2" t="inlineStr">
        <is>
          <t>Other Computer Related Services</t>
        </is>
      </c>
      <c r="L6" s="2" t="inlineStr">
        <is>
          <t>Full and Open</t>
        </is>
      </c>
      <c r="M6" s="2" t="inlineStr">
        <is>
          <t>At $5.8M this is a smaller task order; check USASpending for utilization and any option year status.</t>
        </is>
      </c>
      <c r="N6" s="2" t="inlineStr">
        <is>
          <t>Search SAM.gov for the LEAF solicitation; ServiceNow or similar platform requirements likely.</t>
        </is>
      </c>
      <c r="O6" s="5" t="inlineStr">
        <is>
          <t>Medium-High</t>
        </is>
      </c>
      <c r="P6" s="2" t="inlineStr">
        <is>
          <t>7 bidders on a $5.8M contract signals strong small business competition; accessible size attracts many competitors.</t>
        </is>
      </c>
      <c r="Q6" s="2" t="inlineStr">
        <is>
          <t>LEAF supports VA's internal workflow automation; referenced in VA OIT digital transformation roadmaps.</t>
        </is>
      </c>
      <c r="R6" s="2" t="inlineStr">
        <is>
          <t>1. Research LEAF platform capabilities and map to Verve workflow/automation experience.
2. Consider small business set-aside positioning if eligible.</t>
        </is>
      </c>
      <c r="S6" s="2" t="inlineStr">
        <is>
          <t>https://www.highergov.com/contract/VA11816D1014-36C10B24N10140047/?ref=os</t>
        </is>
      </c>
      <c r="T6" s="2" t="inlineStr">
        <is>
          <t>https://www.usaspending.gov/search/?query=VA11816D1014-36C10B24N10140047</t>
        </is>
      </c>
    </row>
    <row r="7" ht="72" customHeight="1">
      <c r="A7" s="4" t="inlineStr">
        <is>
          <t>VA INFORMATION SECURITY RISK MANAGEMENT 3554 PERIODIC ASSESSMENT OF RISK SUPPORT</t>
        </is>
      </c>
      <c r="B7" s="4" t="inlineStr">
        <is>
          <t>36C10B21D1037-36C10B22N10370001</t>
        </is>
      </c>
      <c r="C7" s="4" t="n">
        <v>71</v>
      </c>
      <c r="D7" s="4" t="n">
        <v>7</v>
      </c>
      <c r="E7" s="4" t="inlineStr">
        <is>
          <t>VA</t>
        </is>
      </c>
      <c r="F7" s="4" t="inlineStr">
        <is>
          <t>2026-04-02</t>
        </is>
      </c>
      <c r="G7" s="4" t="inlineStr">
        <is>
          <t>Coalfire or Guidehouse (likely)</t>
        </is>
      </c>
      <c r="H7" s="4" t="inlineStr">
        <is>
          <t>FISMA 3554 assessments require specialized cybersecurity audit firms; Coalfire, Guidehouse, and similar firms dominate.</t>
        </is>
      </c>
      <c r="I7" s="4" t="inlineStr">
        <is>
          <t>Task Order</t>
        </is>
      </c>
      <c r="J7" s="4" t="inlineStr">
        <is>
          <t>541519</t>
        </is>
      </c>
      <c r="K7" s="4" t="inlineStr">
        <is>
          <t>Computer Security Services</t>
        </is>
      </c>
      <c r="L7" s="4" t="inlineStr">
        <is>
          <t>Full and Open</t>
        </is>
      </c>
      <c r="M7" s="4" t="inlineStr">
        <is>
          <t>Verify $71M ceiling utilization on USASpending; assessment contracts often obligate incrementally per assessment cycle.</t>
        </is>
      </c>
      <c r="N7" s="4" t="inlineStr">
        <is>
          <t>Search solicitation 36C10B22N10370001; look for FedRAMP, FISMA, and RMF compliance requirements in the PWS.</t>
        </is>
      </c>
      <c r="O7" s="5" t="inlineStr">
        <is>
          <t>Medium-High</t>
        </is>
      </c>
      <c r="P7" s="4" t="inlineStr">
        <is>
          <t>7 bidders in a specialized cyber domain; FISMA expertise requirement narrows the field but VA cyber remains hot.</t>
        </is>
      </c>
      <c r="Q7" s="4" t="inlineStr">
        <is>
          <t>VA regularly reports FISMA scores to Congress; this contract is tied to annual FISMA reporting requirements.</t>
        </is>
      </c>
      <c r="R7" s="4" t="inlineStr">
        <is>
          <t>1. Confirm Verve's FISMA/RMF credentials and clearances.
2. Pursue teaming with a certified 3PAO if not already certified.</t>
        </is>
      </c>
      <c r="S7" s="4" t="inlineStr">
        <is>
          <t>https://www.highergov.com/contract/36C10B21D1037-36C10B22N10370001/?ref=os</t>
        </is>
      </c>
      <c r="T7" s="4" t="inlineStr">
        <is>
          <t>https://www.usaspending.gov/search/?query=36C10B21D1037-36C10B22N10370001</t>
        </is>
      </c>
    </row>
    <row r="8" ht="72" customHeight="1">
      <c r="A8" s="2" t="inlineStr">
        <is>
          <t>VA ENTERPRISE DLP PROGRAM PROJECT MANAGEMENT AND TECHNICAL SERVICES</t>
        </is>
      </c>
      <c r="B8" s="2" t="inlineStr">
        <is>
          <t>36C10B21D1037-36C10B23N10370003</t>
        </is>
      </c>
      <c r="C8" s="2" t="n">
        <v>29</v>
      </c>
      <c r="D8" s="2" t="n">
        <v>6</v>
      </c>
      <c r="E8" s="2" t="inlineStr">
        <is>
          <t>VA</t>
        </is>
      </c>
      <c r="F8" s="2" t="inlineStr">
        <is>
          <t>2026-04-02</t>
        </is>
      </c>
      <c r="G8" s="2" t="inlineStr">
        <is>
          <t>Forcepoint reseller or DLP management firm</t>
        </is>
      </c>
      <c r="H8" s="2" t="inlineStr">
        <is>
          <t>DLP programs at VA typically involve a management firm alongside a DLP tool vendor (e.g., Forcepoint, Microsoft Purview).</t>
        </is>
      </c>
      <c r="I8" s="2" t="inlineStr">
        <is>
          <t>Task Order</t>
        </is>
      </c>
      <c r="J8" s="2" t="inlineStr">
        <is>
          <t>541512</t>
        </is>
      </c>
      <c r="K8" s="2" t="inlineStr">
        <is>
          <t>Computer Systems Design Services</t>
        </is>
      </c>
      <c r="L8" s="2" t="inlineStr">
        <is>
          <t>Full and Open</t>
        </is>
      </c>
      <c r="M8" s="2" t="inlineStr">
        <is>
          <t>Check USASpending for annual DLP-related obligations; tool licensing may inflate ceiling.</t>
        </is>
      </c>
      <c r="N8" s="2" t="inlineStr">
        <is>
          <t>Search solicitation 36C10B23N10370003; DLP PWS typically includes data classification and policy requirements.</t>
        </is>
      </c>
      <c r="O8" s="6" t="inlineStr">
        <is>
          <t>Medium</t>
        </is>
      </c>
      <c r="P8" s="2" t="inlineStr">
        <is>
          <t>6 bidders with specialized DLP expertise required; incumbent has advantage due to DLP policy and tooling continuity.</t>
        </is>
      </c>
      <c r="Q8" s="2" t="inlineStr">
        <is>
          <t>VA data breach incidents have driven increased DLP investment; referenced in VA cybersecurity improvement plans.</t>
        </is>
      </c>
      <c r="R8" s="2" t="inlineStr">
        <is>
          <t>1. Identify current DLP toolset and ensure teaming partner is an authorized reseller.
2. Document any Verve DLP or data security past performance.</t>
        </is>
      </c>
      <c r="S8" s="2" t="inlineStr">
        <is>
          <t>https://www.highergov.com/contract/36C10B21D1037-36C10B23N10370003/?ref=os</t>
        </is>
      </c>
      <c r="T8" s="2" t="inlineStr">
        <is>
          <t>https://www.usaspending.gov/search/?query=36C10B21D1037-36C10B23N10370003</t>
        </is>
      </c>
    </row>
    <row r="9" ht="72" customHeight="1">
      <c r="A9" s="4" t="inlineStr">
        <is>
          <t>VA HEALTH SERVICES PORTFOLIO TECHNICAL MANAGEMENT AND STRATEGIC SOLUTIONING SUPPORT</t>
        </is>
      </c>
      <c r="B9" s="4" t="inlineStr">
        <is>
          <t>VA11816D1003-36C10B22N10030034</t>
        </is>
      </c>
      <c r="C9" s="4" t="n">
        <v>389.9</v>
      </c>
      <c r="D9" s="4" t="n">
        <v>6</v>
      </c>
      <c r="E9" s="4" t="inlineStr">
        <is>
          <t>VA</t>
        </is>
      </c>
      <c r="F9" s="4" t="inlineStr">
        <is>
          <t>2026-04-02</t>
        </is>
      </c>
      <c r="G9" s="4" t="inlineStr">
        <is>
          <t>Booz Allen Hamilton or Leidos</t>
        </is>
      </c>
      <c r="H9" s="4" t="inlineStr">
        <is>
          <t>Strategic solutioning at nearly $400M is dominated by Tier 1 consulting and IT firms with VA health portfolio access.</t>
        </is>
      </c>
      <c r="I9" s="4" t="inlineStr">
        <is>
          <t>Task Order (IDIQ)</t>
        </is>
      </c>
      <c r="J9" s="4" t="inlineStr">
        <is>
          <t>541611</t>
        </is>
      </c>
      <c r="K9" s="4" t="inlineStr">
        <is>
          <t>Management Consulting Services</t>
        </is>
      </c>
      <c r="L9" s="4" t="inlineStr">
        <is>
          <t>Full and Open</t>
        </is>
      </c>
      <c r="M9" s="4" t="inlineStr">
        <is>
          <t>USASpending will show large annual obligations; check for any ceiling modifications given the large value.</t>
        </is>
      </c>
      <c r="N9" s="4" t="inlineStr">
        <is>
          <t>Search parent IDIQ VA11816D1003 and task order 36C10B22N10030034 on SAM.gov.</t>
        </is>
      </c>
      <c r="O9" s="6" t="inlineStr">
        <is>
          <t>Medium</t>
        </is>
      </c>
      <c r="P9" s="4" t="inlineStr">
        <is>
          <t>$390M with only 6 bidders suggests a selective field; incumbent's institutional knowledge creates high switching costs.</t>
        </is>
      </c>
      <c r="Q9" s="4" t="inlineStr">
        <is>
          <t>Tied to VA's Oracle Cerner EHR implementation and health portfolio modernization; heavily tracked in trade press.</t>
        </is>
      </c>
      <c r="R9" s="4" t="inlineStr">
        <is>
          <t>1. Target subcontracting under the prime as entry point.
2. Track Oracle Cerner VA news for scope expansion signals.</t>
        </is>
      </c>
      <c r="S9" s="4" t="inlineStr">
        <is>
          <t>https://www.highergov.com/contract/VA11816D1003-36C10B22N10030034/?ref=os</t>
        </is>
      </c>
      <c r="T9" s="4" t="inlineStr">
        <is>
          <t>https://www.usaspending.gov/search/?query=VA11816D1003-36C10B22N10030034</t>
        </is>
      </c>
    </row>
    <row r="10" ht="72" customHeight="1">
      <c r="A10" s="2" t="inlineStr">
        <is>
          <t>VA AGILE PRODUCT DESIGN AND DELIVERY SERVICES</t>
        </is>
      </c>
      <c r="B10" s="2" t="inlineStr">
        <is>
          <t>36C10B25D0010-36C10B25N00100002</t>
        </is>
      </c>
      <c r="C10" s="2" t="n">
        <v>16.2</v>
      </c>
      <c r="D10" s="2" t="n">
        <v>5</v>
      </c>
      <c r="E10" s="2" t="inlineStr">
        <is>
          <t>VA</t>
        </is>
      </c>
      <c r="F10" s="2" t="inlineStr">
        <is>
          <t>2026-04-02</t>
        </is>
      </c>
      <c r="G10" s="2" t="inlineStr">
        <is>
          <t>Ad Hoc LLC or Nava PBC (likely)</t>
        </is>
      </c>
      <c r="H10" s="2" t="inlineStr">
        <is>
          <t>VA digital services contracts attract civic tech firms like Ad Hoc, Nava, and USDS alumni companies.</t>
        </is>
      </c>
      <c r="I10" s="2" t="inlineStr">
        <is>
          <t>Task Order</t>
        </is>
      </c>
      <c r="J10" s="2" t="inlineStr">
        <is>
          <t>541511</t>
        </is>
      </c>
      <c r="K10" s="2" t="inlineStr">
        <is>
          <t>Custom Computer Programming Services</t>
        </is>
      </c>
      <c r="L10" s="2" t="inlineStr">
        <is>
          <t>Full and Open</t>
        </is>
      </c>
      <c r="M10" s="2" t="inlineStr">
        <is>
          <t>Check USASpending for sprint-based obligations; agile task orders often show frequent small modifications.</t>
        </is>
      </c>
      <c r="N10" s="2" t="inlineStr">
        <is>
          <t>Search solicitation 36C10B25N00100002; human-centered design and agile methodology requirements expected.</t>
        </is>
      </c>
      <c r="O10" s="6" t="inlineStr">
        <is>
          <t>Medium</t>
        </is>
      </c>
      <c r="P10" s="2" t="inlineStr">
        <is>
          <t>5 bidders in the civic tech space; agile digital services is competitive but smaller pool of qualified firms.</t>
        </is>
      </c>
      <c r="Q10" s="2" t="inlineStr">
        <is>
          <t>VA.gov platform and digital modernization initiatives drive ongoing demand for agile delivery support.</t>
        </is>
      </c>
      <c r="R10" s="2" t="inlineStr">
        <is>
          <t>1. Document Verve's agile delivery methodology and toolchain.
2. Identify a design partner if UX is a capability gap.</t>
        </is>
      </c>
      <c r="S10" s="2" t="inlineStr">
        <is>
          <t>https://www.highergov.com/contract/36C10B25D0010-36C10B25N00100002/?ref=os</t>
        </is>
      </c>
      <c r="T10" s="2" t="inlineStr">
        <is>
          <t>https://www.usaspending.gov/search/?query=36C10B25D0010-36C10B25N00100002</t>
        </is>
      </c>
    </row>
    <row r="11" ht="72" customHeight="1">
      <c r="A11" s="4" t="inlineStr">
        <is>
          <t>VA LEGACY SYSTEMS APPLICATIONS SUPPORT SERVICES</t>
        </is>
      </c>
      <c r="B11" s="4" t="inlineStr">
        <is>
          <t>36C10B21D1035-36C10B22N1035003</t>
        </is>
      </c>
      <c r="C11" s="4" t="n">
        <v>16.4</v>
      </c>
      <c r="D11" s="4" t="n">
        <v>5</v>
      </c>
      <c r="E11" s="4" t="inlineStr">
        <is>
          <t>VA</t>
        </is>
      </c>
      <c r="F11" s="4" t="inlineStr">
        <is>
          <t>2026-04-02</t>
        </is>
      </c>
      <c r="G11" s="4" t="inlineStr">
        <is>
          <t>SAIC or ManTech (likely)</t>
        </is>
      </c>
      <c r="H11" s="4" t="inlineStr">
        <is>
          <t>Legacy systems support at VA typically goes to mid-tier defense IT firms with COBOL, mainframe, or VA-specific system expertise.</t>
        </is>
      </c>
      <c r="I11" s="4" t="inlineStr">
        <is>
          <t>Task Order</t>
        </is>
      </c>
      <c r="J11" s="4" t="inlineStr">
        <is>
          <t>541512</t>
        </is>
      </c>
      <c r="K11" s="4" t="inlineStr">
        <is>
          <t>Computer Systems Design Services</t>
        </is>
      </c>
      <c r="L11" s="4" t="inlineStr">
        <is>
          <t>Full and Open</t>
        </is>
      </c>
      <c r="M11" s="4" t="inlineStr">
        <is>
          <t>Check USASpending for steady-state obligations; legacy support typically has consistent annual spend.</t>
        </is>
      </c>
      <c r="N11" s="4" t="inlineStr">
        <is>
          <t>Search SAM.gov solicitation 36C10B22N1035003; note any specific legacy system names (VistA, CPRS, etc.) in the PWS.</t>
        </is>
      </c>
      <c r="O11" s="6" t="inlineStr">
        <is>
          <t>Medium</t>
        </is>
      </c>
      <c r="P11" s="4" t="inlineStr">
        <is>
          <t>Legacy system knowledge is sticky, but 5 bidders shows the market remains open.</t>
        </is>
      </c>
      <c r="Q11" s="4" t="inlineStr">
        <is>
          <t>VA legacy modernization tension with Oracle Cerner rollout affects scope of legacy support contracts.</t>
        </is>
      </c>
      <c r="R11" s="4" t="inlineStr">
        <is>
          <t>1. Map Verve's VistA or legacy VA system experience.
2. Consider teaming with a firm that has specific legacy system expertise.</t>
        </is>
      </c>
      <c r="S11" s="4" t="inlineStr">
        <is>
          <t>https://www.highergov.com/contract/36C10B21D1035-36C10B22N1035003/?ref=os</t>
        </is>
      </c>
      <c r="T11" s="4" t="inlineStr">
        <is>
          <t>https://www.usaspending.gov/search/?query=36C10B21D1035-36C10B22N1035003</t>
        </is>
      </c>
    </row>
    <row r="12" ht="72" customHeight="1">
      <c r="A12" s="2" t="inlineStr">
        <is>
          <t>VA RECORDS AND KNOWLEDGE SOLUTIONS, WEB AND SHAREPOINT MANAGEMENT</t>
        </is>
      </c>
      <c r="B12" s="2" t="inlineStr">
        <is>
          <t>VA11816D1025-36C10B22N10250023</t>
        </is>
      </c>
      <c r="C12" s="2" t="n">
        <v>21.3</v>
      </c>
      <c r="D12" s="2" t="n">
        <v>5</v>
      </c>
      <c r="E12" s="2" t="inlineStr">
        <is>
          <t>VA</t>
        </is>
      </c>
      <c r="F12" s="2" t="inlineStr">
        <is>
          <t>2026-04-02</t>
        </is>
      </c>
      <c r="G12" s="2" t="inlineStr">
        <is>
          <t>Perspecta or similar Microsoft-stack firm</t>
        </is>
      </c>
      <c r="H12" s="2" t="inlineStr">
        <is>
          <t>SharePoint and records management at federal agencies typically involves mid-tier IT firms with Microsoft stack expertise.</t>
        </is>
      </c>
      <c r="I12" s="2" t="inlineStr">
        <is>
          <t>Task Order</t>
        </is>
      </c>
      <c r="J12" s="2" t="inlineStr">
        <is>
          <t>541512</t>
        </is>
      </c>
      <c r="K12" s="2" t="inlineStr">
        <is>
          <t>Computer Systems Design Services</t>
        </is>
      </c>
      <c r="L12" s="2" t="inlineStr">
        <is>
          <t>Full and Open</t>
        </is>
      </c>
      <c r="M12" s="2" t="inlineStr">
        <is>
          <t>Check USASpending for $21.3M ceiling utilization; SharePoint modernization may drive increased obligations.</t>
        </is>
      </c>
      <c r="N12" s="2" t="inlineStr">
        <is>
          <t>Search solicitation 36C10B22N10250023; expect Microsoft 365, SharePoint Online, and records management requirements.</t>
        </is>
      </c>
      <c r="O12" s="6" t="inlineStr">
        <is>
          <t>Medium</t>
        </is>
      </c>
      <c r="P12" s="2" t="inlineStr">
        <is>
          <t>SharePoint expertise is widely available; 5 bidders reflects moderate competition in a well-understood technical domain.</t>
        </is>
      </c>
      <c r="Q12" s="2" t="inlineStr">
        <is>
          <t>VA records management tied to NARA compliance requirements; M-19-21 digitization mandate drives investment.</t>
        </is>
      </c>
      <c r="R12" s="2" t="inlineStr">
        <is>
          <t>1. Confirm Verve's Microsoft 365/SharePoint credentials.
2. Reference any NARA-compliant records management past performance.</t>
        </is>
      </c>
      <c r="S12" s="2" t="inlineStr">
        <is>
          <t>https://www.highergov.com/contract/VA11816D1025-36C10B22N10250023/?ref=os</t>
        </is>
      </c>
      <c r="T12" s="2" t="inlineStr">
        <is>
          <t>https://www.usaspending.gov/search/?query=VA11816D1025-36C10B22N10250023</t>
        </is>
      </c>
    </row>
    <row r="13" ht="72" customHeight="1">
      <c r="A13" s="4" t="inlineStr">
        <is>
          <t>VA DATA ANALYTICS SUPPORT</t>
        </is>
      </c>
      <c r="B13" s="4" t="inlineStr">
        <is>
          <t>36C10X23D0018-36C10X24N0098</t>
        </is>
      </c>
      <c r="C13" s="4" t="n">
        <v>5.7</v>
      </c>
      <c r="D13" s="4" t="n">
        <v>4</v>
      </c>
      <c r="E13" s="4" t="inlineStr">
        <is>
          <t>VA</t>
        </is>
      </c>
      <c r="F13" s="4" t="inlineStr">
        <is>
          <t>2026-04-02</t>
        </is>
      </c>
      <c r="G13" s="4" t="inlineStr">
        <is>
          <t>Small analytics firm</t>
        </is>
      </c>
      <c r="H13" s="4" t="inlineStr">
        <is>
          <t>VA data analytics support at this value is likely held by a small business; Power BI, Tableau, or SQL expertise common.</t>
        </is>
      </c>
      <c r="I13" s="4" t="inlineStr">
        <is>
          <t>Task Order</t>
        </is>
      </c>
      <c r="J13" s="4" t="inlineStr">
        <is>
          <t>541511</t>
        </is>
      </c>
      <c r="K13" s="4" t="inlineStr">
        <is>
          <t>Custom Computer Programming Services</t>
        </is>
      </c>
      <c r="L13" s="4" t="inlineStr">
        <is>
          <t>Full and Open</t>
        </is>
      </c>
      <c r="M13" s="4" t="inlineStr">
        <is>
          <t>At $5.7M this is a smaller task order; USASpending likely shows consistent annual data analytics obligations.</t>
        </is>
      </c>
      <c r="N13" s="4" t="inlineStr">
        <is>
          <t>Search solicitation 36C10X24N0098; look for specific analytics platform requirements (Power BI, Python, R, etc.).</t>
        </is>
      </c>
      <c r="O13" s="7" t="inlineStr">
        <is>
          <t>Low-Medium</t>
        </is>
      </c>
      <c r="P13" s="4" t="inlineStr">
        <is>
          <t>Only 4 bidders and modest value; specialized analytics skills limit the field and favor incumbents.</t>
        </is>
      </c>
      <c r="Q13" s="4" t="inlineStr">
        <is>
          <t>VA data analytics tied to veteran outcome tracking and VSO reporting requirements.</t>
        </is>
      </c>
      <c r="R13" s="4" t="inlineStr">
        <is>
          <t>1. Highlight Verve's data analytics tools and methodologies.
2. Reference veteran-focused data analysis past performance if available.</t>
        </is>
      </c>
      <c r="S13" s="4" t="inlineStr">
        <is>
          <t>https://www.highergov.com/contract/36C10X23D0018-36C10X24N0098/?ref=os</t>
        </is>
      </c>
      <c r="T13" s="4" t="inlineStr">
        <is>
          <t>https://www.usaspending.gov/search/?query=36C10X23D0018-36C10X24N0098</t>
        </is>
      </c>
    </row>
    <row r="14" ht="72" customHeight="1">
      <c r="A14" s="2" t="inlineStr">
        <is>
          <t>VA ENTERPRISE SERVICE DESK (ESD) CONTACT CENTER INFRASTRUCTURE (CCI) MANAGED SERVICE</t>
        </is>
      </c>
      <c r="B14" s="2" t="inlineStr">
        <is>
          <t>VA11816D1001-36C10B22N10010011</t>
        </is>
      </c>
      <c r="C14" s="2" t="n">
        <v>36</v>
      </c>
      <c r="D14" s="2" t="n">
        <v>4</v>
      </c>
      <c r="E14" s="2" t="inlineStr">
        <is>
          <t>VA</t>
        </is>
      </c>
      <c r="F14" s="2" t="inlineStr">
        <is>
          <t>2026-04-02</t>
        </is>
      </c>
      <c r="G14" s="2" t="inlineStr">
        <is>
          <t>Unison or Conduent Federal (likely)</t>
        </is>
      </c>
      <c r="H14" s="2" t="inlineStr">
        <is>
          <t>ESD/contact center managed services at VA typically involve firms with ServiceNow and ITSM expertise.</t>
        </is>
      </c>
      <c r="I14" s="2" t="inlineStr">
        <is>
          <t>Task Order (IDIQ)</t>
        </is>
      </c>
      <c r="J14" s="2" t="inlineStr">
        <is>
          <t>561422</t>
        </is>
      </c>
      <c r="K14" s="2" t="inlineStr">
        <is>
          <t>Telemarketing Bureaus and Other Contact Centers</t>
        </is>
      </c>
      <c r="L14" s="2" t="inlineStr">
        <is>
          <t>Full and Open</t>
        </is>
      </c>
      <c r="M14" s="2" t="inlineStr">
        <is>
          <t>Check USASpending for $36M ceiling utilization; managed service contracts typically have high annual obligation rates.</t>
        </is>
      </c>
      <c r="N14" s="2" t="inlineStr">
        <is>
          <t>Search solicitation 36C10B22N10010011; ServiceNow, telephony, and ITSM platform requirements expected.</t>
        </is>
      </c>
      <c r="O14" s="7" t="inlineStr">
        <is>
          <t>Low-Medium</t>
        </is>
      </c>
      <c r="P14" s="2" t="inlineStr">
        <is>
          <t>4 bidders with specialized contact center infrastructure expertise; managed service incumbents are difficult to displace.</t>
        </is>
      </c>
      <c r="Q14" s="2" t="inlineStr">
        <is>
          <t>VA ESD consolidation efforts and IT modernization drive ongoing contact center infrastructure investment.</t>
        </is>
      </c>
      <c r="R14" s="2" t="inlineStr">
        <is>
          <t>1. Assess Verve's ServiceNow or ITSM platform capabilities.
2. Explore teaming with an established contact center managed service firm.</t>
        </is>
      </c>
      <c r="S14" s="2" t="inlineStr">
        <is>
          <t>https://www.highergov.com/contract/VA11816D1001-36C10B22N10010011/?ref=os</t>
        </is>
      </c>
      <c r="T14" s="2" t="inlineStr">
        <is>
          <t>https://www.usaspending.gov/search/?query=VA11816D1001-36C10B22N10010011</t>
        </is>
      </c>
    </row>
    <row r="15" ht="72" customHeight="1">
      <c r="A15" s="4" t="inlineStr">
        <is>
          <t>VA AGILE PRODUCT DESIGN AND DELIVERY SERVICES</t>
        </is>
      </c>
      <c r="B15" s="4" t="inlineStr">
        <is>
          <t>36C10B25D0005-36C10B25N00050002</t>
        </is>
      </c>
      <c r="C15" s="4" t="n">
        <v>9.9</v>
      </c>
      <c r="D15" s="4" t="n">
        <v>4</v>
      </c>
      <c r="E15" s="4" t="inlineStr">
        <is>
          <t>VA</t>
        </is>
      </c>
      <c r="F15" s="4" t="inlineStr">
        <is>
          <t>2026-04-02</t>
        </is>
      </c>
      <c r="G15" s="4" t="inlineStr">
        <is>
          <t>Nava PBC or similar civic tech firm</t>
        </is>
      </c>
      <c r="H15" s="4" t="inlineStr">
        <is>
          <t>Smaller agile delivery contract; civic tech and digital services boutiques are likely incumbents.</t>
        </is>
      </c>
      <c r="I15" s="4" t="inlineStr">
        <is>
          <t>Task Order</t>
        </is>
      </c>
      <c r="J15" s="4" t="inlineStr">
        <is>
          <t>541511</t>
        </is>
      </c>
      <c r="K15" s="4" t="inlineStr">
        <is>
          <t>Custom Computer Programming Services</t>
        </is>
      </c>
      <c r="L15" s="4" t="inlineStr">
        <is>
          <t>Full and Open</t>
        </is>
      </c>
      <c r="M15" s="4" t="inlineStr">
        <is>
          <t>Check USASpending for sprint-based obligation patterns under this $9.9M task order.</t>
        </is>
      </c>
      <c r="N15" s="4" t="inlineStr">
        <is>
          <t>Search solicitation 36C10B25N00050002; agile methodology, user research, and accessibility likely required.</t>
        </is>
      </c>
      <c r="O15" s="7" t="inlineStr">
        <is>
          <t>Low-Medium</t>
        </is>
      </c>
      <c r="P15" s="4" t="inlineStr">
        <is>
          <t>4 bidders; smaller agile task orders attract a focused set of civic tech firms with established VA relationships.</t>
        </is>
      </c>
      <c r="Q15" s="4" t="inlineStr">
        <is>
          <t>Part of VA.gov modernization platform; tied to veteran-facing digital service improvements.</t>
        </is>
      </c>
      <c r="R15" s="4" t="inlineStr">
        <is>
          <t>1. Document agile sprint history and delivery metrics.
2. Explore subcontracting under a digital services prime.</t>
        </is>
      </c>
      <c r="S15" s="4" t="inlineStr">
        <is>
          <t>https://www.highergov.com/contract/36C10B25D0005-36C10B25N00050002/?ref=os</t>
        </is>
      </c>
      <c r="T15" s="4" t="inlineStr">
        <is>
          <t>https://www.usaspending.gov/search/?query=36C10B25D0005-36C10B25N00050002</t>
        </is>
      </c>
    </row>
    <row r="16" ht="72" customHeight="1">
      <c r="A16" s="2" t="inlineStr">
        <is>
          <t>VA MY HEALTHEVET PATIENT PORTAL PLATFORM, APIS AND BACKEND SERVICES</t>
        </is>
      </c>
      <c r="B16" s="2" t="inlineStr">
        <is>
          <t>36C10B25D0007-36C10B25N00070008</t>
        </is>
      </c>
      <c r="C16" s="2" t="n">
        <v>28</v>
      </c>
      <c r="D16" s="2" t="n">
        <v>4</v>
      </c>
      <c r="E16" s="2" t="inlineStr">
        <is>
          <t>VA</t>
        </is>
      </c>
      <c r="F16" s="2" t="inlineStr">
        <is>
          <t>2026-04-02</t>
        </is>
      </c>
      <c r="G16" s="2" t="inlineStr">
        <is>
          <t>Ad Hoc LLC (likely)</t>
        </is>
      </c>
      <c r="H16" s="2" t="inlineStr">
        <is>
          <t>Ad Hoc LLC has strong My HealtheVet and VA.gov past performance; leading candidate for this type of work.</t>
        </is>
      </c>
      <c r="I16" s="2" t="inlineStr">
        <is>
          <t>Task Order</t>
        </is>
      </c>
      <c r="J16" s="2" t="inlineStr">
        <is>
          <t>541511</t>
        </is>
      </c>
      <c r="K16" s="2" t="inlineStr">
        <is>
          <t>Custom Computer Programming Services</t>
        </is>
      </c>
      <c r="L16" s="2" t="inlineStr">
        <is>
          <t>Full and Open</t>
        </is>
      </c>
      <c r="M16" s="2" t="inlineStr">
        <is>
          <t>Check USASpending for $28M ceiling utilization; portal API work typically has steady-state plus surge obligations.</t>
        </is>
      </c>
      <c r="N16" s="2" t="inlineStr">
        <is>
          <t>Search solicitation 36C10B25N00070008; REST API, FHIR interoperability, and 508 compliance likely required.</t>
        </is>
      </c>
      <c r="O16" s="7" t="inlineStr">
        <is>
          <t>Low-Medium</t>
        </is>
      </c>
      <c r="P16" s="2" t="inlineStr">
        <is>
          <t>4 bidders with technical depth in FHIR/HL7 required; incumbent has deep institutional knowledge of the platform.</t>
        </is>
      </c>
      <c r="Q16" s="2" t="inlineStr">
        <is>
          <t>My HealtheVet is transitioning to VA.gov; this contract supports the critical backend API layer for veteran health access.</t>
        </is>
      </c>
      <c r="R16" s="2" t="inlineStr">
        <is>
          <t>1. Assess FHIR/HL7 interoperability credentials.
2. Explore teaming with Ad Hoc or other digital health firms.</t>
        </is>
      </c>
      <c r="S16" s="2" t="inlineStr">
        <is>
          <t>https://www.highergov.com/contract/36C10B25D0007-36C10B25N00070008/?ref=os</t>
        </is>
      </c>
      <c r="T16" s="2" t="inlineStr">
        <is>
          <t>https://www.usaspending.gov/search/?query=36C10B25D0007-36C10B25N00070008</t>
        </is>
      </c>
    </row>
    <row r="17" ht="72" customHeight="1">
      <c r="A17" s="4" t="inlineStr">
        <is>
          <t>MY HEALTHEVET ON VA.GOV WEB AND MOBILE PORTAL PRODUCT DEVELOPMENT</t>
        </is>
      </c>
      <c r="B17" s="4" t="inlineStr">
        <is>
          <t>36C10B25D0006-36C10B25N00060003</t>
        </is>
      </c>
      <c r="C17" s="4" t="n">
        <v>26.8</v>
      </c>
      <c r="D17" s="4" t="n">
        <v>4</v>
      </c>
      <c r="E17" s="4" t="inlineStr">
        <is>
          <t>VA</t>
        </is>
      </c>
      <c r="F17" s="4" t="inlineStr">
        <is>
          <t>2026-04-02</t>
        </is>
      </c>
      <c r="G17" s="4" t="inlineStr">
        <is>
          <t>Ad Hoc LLC or Oddball</t>
        </is>
      </c>
      <c r="H17" s="4" t="inlineStr">
        <is>
          <t>Web and mobile product development on VA.gov is dominated by civic tech firms with strong human-centered design practices.</t>
        </is>
      </c>
      <c r="I17" s="4" t="inlineStr">
        <is>
          <t>Task Order</t>
        </is>
      </c>
      <c r="J17" s="4" t="inlineStr">
        <is>
          <t>541511</t>
        </is>
      </c>
      <c r="K17" s="4" t="inlineStr">
        <is>
          <t>Custom Computer Programming Services</t>
        </is>
      </c>
      <c r="L17" s="4" t="inlineStr">
        <is>
          <t>Full and Open</t>
        </is>
      </c>
      <c r="M17" s="4" t="inlineStr">
        <is>
          <t>Check USASpending for obligation patterns; mobile development may have seasonal surge in obligations.</t>
        </is>
      </c>
      <c r="N17" s="4" t="inlineStr">
        <is>
          <t>Search solicitation 36C10B25N00060003; React, mobile development, and VA Design System compliance likely required.</t>
        </is>
      </c>
      <c r="O17" s="7" t="inlineStr">
        <is>
          <t>Low-Medium</t>
        </is>
      </c>
      <c r="P17" s="4" t="inlineStr">
        <is>
          <t>4 bidders with mobile and web product expertise; veteran-facing portal work attracts mission-driven firms.</t>
        </is>
      </c>
      <c r="Q17" s="4" t="inlineStr">
        <is>
          <t>VA mobile app strategy and My HealtheVet migration to VA.gov is a top priority per VA strategic plan.</t>
        </is>
      </c>
      <c r="R17" s="4" t="inlineStr">
        <is>
          <t>1. Document mobile and web product delivery past performance.
2. Consider teaming with a firm holding existing VA.gov platform access.</t>
        </is>
      </c>
      <c r="S17" s="4" t="inlineStr">
        <is>
          <t>https://www.highergov.com/contract/36C10B25D0006-36C10B25N00060003/?ref=os</t>
        </is>
      </c>
      <c r="T17" s="4" t="inlineStr">
        <is>
          <t>https://www.usaspending.gov/search/?query=36C10B25D0006-36C10B25N00060003</t>
        </is>
      </c>
    </row>
    <row r="18" ht="72" customHeight="1">
      <c r="A18" s="2" t="inlineStr">
        <is>
          <t>VA SPRUCE AGILE PRODUCT DESIGN AND DELIVERY SERVICES</t>
        </is>
      </c>
      <c r="B18" s="2" t="inlineStr">
        <is>
          <t>36C10B25D0003-36C10B25N00030002</t>
        </is>
      </c>
      <c r="C18" s="2" t="n">
        <v>28.8</v>
      </c>
      <c r="D18" s="2" t="n">
        <v>3</v>
      </c>
      <c r="E18" s="2" t="inlineStr">
        <is>
          <t>VA</t>
        </is>
      </c>
      <c r="F18" s="2" t="inlineStr">
        <is>
          <t>2026-04-02</t>
        </is>
      </c>
      <c r="G18" s="2" t="inlineStr">
        <is>
          <t>Bloom Works or similar civic tech firm</t>
        </is>
      </c>
      <c r="H18" s="2" t="inlineStr">
        <is>
          <t>Spruce is a named VA product team; incumbent likely a civic tech firm specializing in agile human-centered design.</t>
        </is>
      </c>
      <c r="I18" s="2" t="inlineStr">
        <is>
          <t>Task Order</t>
        </is>
      </c>
      <c r="J18" s="2" t="inlineStr">
        <is>
          <t>541511</t>
        </is>
      </c>
      <c r="K18" s="2" t="inlineStr">
        <is>
          <t>Custom Computer Programming Services</t>
        </is>
      </c>
      <c r="L18" s="2" t="inlineStr">
        <is>
          <t>Full and Open</t>
        </is>
      </c>
      <c r="M18" s="2" t="inlineStr">
        <is>
          <t>Check USASpending for $28.8M utilization; Spruce product team contracts tend to have consistent velocity.</t>
        </is>
      </c>
      <c r="N18" s="2" t="inlineStr">
        <is>
          <t>Search solicitation 36C10B25N00030002; VA Design System, accessibility (508), and agile ceremonies expected.</t>
        </is>
      </c>
      <c r="O18" s="8" t="inlineStr">
        <is>
          <t>Low</t>
        </is>
      </c>
      <c r="P18" s="2" t="inlineStr">
        <is>
          <t>Only 3 bidders; Spruce is a named product team, giving incumbents with institutional context a strong advantage.</t>
        </is>
      </c>
      <c r="Q18" s="2" t="inlineStr">
        <is>
          <t>VA Spruce team is part of the VA Office of the CTO's product teams initiative.</t>
        </is>
      </c>
      <c r="R18" s="2" t="inlineStr">
        <is>
          <t>1. Research what Spruce product team specifically works on.
2. Build relationships with VA OCTO to understand future product team needs.</t>
        </is>
      </c>
      <c r="S18" s="2" t="inlineStr">
        <is>
          <t>https://www.highergov.com/contract/36C10B25D0003-36C10B25N00030002/?ref=os</t>
        </is>
      </c>
      <c r="T18" s="2" t="inlineStr">
        <is>
          <t>https://www.usaspending.gov/search/?query=36C10B25D0003-36C10B25N00030002</t>
        </is>
      </c>
    </row>
    <row r="19" ht="72" customHeight="1">
      <c r="A19" s="4" t="inlineStr">
        <is>
          <t>VA HEALTH MIDDLEWARE AND DATA MANAGEMENT (HMDM) DEVSECOPS SUPPORT</t>
        </is>
      </c>
      <c r="B19" s="4" t="inlineStr">
        <is>
          <t>VA11816D1028-36C10B22N10280026</t>
        </is>
      </c>
      <c r="C19" s="4" t="n">
        <v>414.8</v>
      </c>
      <c r="D19" s="4" t="n">
        <v>3</v>
      </c>
      <c r="E19" s="4" t="inlineStr">
        <is>
          <t>VA</t>
        </is>
      </c>
      <c r="F19" s="4" t="inlineStr">
        <is>
          <t>2026-04-02</t>
        </is>
      </c>
      <c r="G19" s="4" t="inlineStr">
        <is>
          <t>Leidos or SAIC (likely)</t>
        </is>
      </c>
      <c r="H19" s="4" t="inlineStr">
        <is>
          <t>HMDM DevSecOps at this scale ($414M, 3 bidders) is likely held by a Tier 1 firm with strong VA health data platform credentials.</t>
        </is>
      </c>
      <c r="I19" s="4" t="inlineStr">
        <is>
          <t>Task Order (IDIQ)</t>
        </is>
      </c>
      <c r="J19" s="4" t="inlineStr">
        <is>
          <t>541512</t>
        </is>
      </c>
      <c r="K19" s="4" t="inlineStr">
        <is>
          <t>Computer Systems Design Services</t>
        </is>
      </c>
      <c r="L19" s="4" t="inlineStr">
        <is>
          <t>Full and Open</t>
        </is>
      </c>
      <c r="M19" s="4" t="inlineStr">
        <is>
          <t>One of the highest-value contracts on the list; USASpending should show substantial multi-year obligations. Check ceiling vs. obligated gap carefully.</t>
        </is>
      </c>
      <c r="N19" s="4" t="inlineStr">
        <is>
          <t>Search parent IDIQ VA11816D1028; PWS for HMDM will include HL7, FHIR, and DevSecOps pipeline requirements.</t>
        </is>
      </c>
      <c r="O19" s="8" t="inlineStr">
        <is>
          <t>Low</t>
        </is>
      </c>
      <c r="P19" s="4" t="inlineStr">
        <is>
          <t>$414M with only 3 bidders — high value, low competition. Top priority capture target on this list.</t>
        </is>
      </c>
      <c r="Q19" s="4" t="inlineStr">
        <is>
          <t>HMDM is tied to Oracle Cerner integration and VA interoperability strategy; critical to VA's EHR modernization.</t>
        </is>
      </c>
      <c r="R19" s="4" t="inlineStr">
        <is>
          <t>1. HIGHEST PRIORITY: Pull the full PWS now and begin gap analysis.
2. Identify a DevSecOps-credentialed prime for teaming if needed.</t>
        </is>
      </c>
      <c r="S19" s="4" t="inlineStr">
        <is>
          <t>https://www.highergov.com/contract/VA11816D1028-36C10B22N10280026/?ref=os</t>
        </is>
      </c>
      <c r="T19" s="4" t="inlineStr">
        <is>
          <t>https://www.usaspending.gov/search/?query=VA11816D1028-36C10B22N10280026</t>
        </is>
      </c>
    </row>
    <row r="20" ht="72" customHeight="1">
      <c r="A20" s="2" t="inlineStr">
        <is>
          <t>VA CFM PERFORMANCE MEASUREMENTS DASHBOARD</t>
        </is>
      </c>
      <c r="B20" s="2" t="inlineStr">
        <is>
          <t>GS00F029DA-36C10B22F0255</t>
        </is>
      </c>
      <c r="C20" s="2" t="n">
        <v>11.2</v>
      </c>
      <c r="D20" s="2" t="n">
        <v>3</v>
      </c>
      <c r="E20" s="2" t="inlineStr">
        <is>
          <t>VA</t>
        </is>
      </c>
      <c r="F20" s="2" t="inlineStr">
        <is>
          <t>2026-04-02</t>
        </is>
      </c>
      <c r="G20" s="2" t="inlineStr">
        <is>
          <t>Small analytics or BI firm</t>
        </is>
      </c>
      <c r="H20" s="2" t="inlineStr">
        <is>
          <t>CFM (Facilities Management) dashboard work is niche; likely held by a small firm with facilities and BI expertise.</t>
        </is>
      </c>
      <c r="I20" s="2" t="inlineStr">
        <is>
          <t>Task Order (GSA Schedule)</t>
        </is>
      </c>
      <c r="J20" s="2" t="inlineStr">
        <is>
          <t>541511</t>
        </is>
      </c>
      <c r="K20" s="2" t="inlineStr">
        <is>
          <t>Custom Computer Programming Services</t>
        </is>
      </c>
      <c r="L20" s="2" t="inlineStr">
        <is>
          <t>Full and Open</t>
        </is>
      </c>
      <c r="M20" s="2" t="inlineStr">
        <is>
          <t>Parent is GSA Schedule GS00F029DA; check USASpending for task order obligations and any modifications.</t>
        </is>
      </c>
      <c r="N20" s="2" t="inlineStr">
        <is>
          <t>GSA Schedule task orders may not post full solicitation docs; contact VA CFM contracting office for requirements.</t>
        </is>
      </c>
      <c r="O20" s="8" t="inlineStr">
        <is>
          <t>Low</t>
        </is>
      </c>
      <c r="P20" s="2" t="inlineStr">
        <is>
          <t>3 bidders in a niche facilities performance domain; small market limits competition significantly.</t>
        </is>
      </c>
      <c r="Q20" s="2" t="inlineStr">
        <is>
          <t>VA CFM manages VA's physical infrastructure; dashboard supports capital planning and maintenance performance tracking.</t>
        </is>
      </c>
      <c r="R20" s="2" t="inlineStr">
        <is>
          <t>1. Assess Verve's facilities management data or BI experience.
2. Contact VA CFM directly for pre-solicitation market research.</t>
        </is>
      </c>
      <c r="S20" s="2" t="inlineStr">
        <is>
          <t>https://www.highergov.com/contract/GS00F029DA-36C10B22F0255/?ref=os</t>
        </is>
      </c>
      <c r="T20" s="2" t="inlineStr">
        <is>
          <t>https://www.usaspending.gov/search/?query=GS00F029DA-36C10B22F0255</t>
        </is>
      </c>
    </row>
    <row r="21" ht="72" customHeight="1">
      <c r="A21" s="4" t="inlineStr">
        <is>
          <t>VA COMPENSATION AND PENSION (C&amp;P) PRODUCT LINE HELP DESK TIER 2 AND DEPLOYMENT SUPPORT SERVICES</t>
        </is>
      </c>
      <c r="B21" s="4" t="inlineStr">
        <is>
          <t>VA11816D1028-36C10B24N10280028</t>
        </is>
      </c>
      <c r="C21" s="4" t="n">
        <v>8.6</v>
      </c>
      <c r="D21" s="4" t="n">
        <v>3</v>
      </c>
      <c r="E21" s="4" t="inlineStr">
        <is>
          <t>VA</t>
        </is>
      </c>
      <c r="F21" s="4" t="inlineStr">
        <is>
          <t>2026-04-02</t>
        </is>
      </c>
      <c r="G21" s="4" t="inlineStr">
        <is>
          <t>Mid-tier IT support firm with VBA system knowledge</t>
        </is>
      </c>
      <c r="H21" s="4" t="inlineStr">
        <is>
          <t>C&amp;P help desk at Tier 2 typically involves a mid-tier IT firm with VA VBA system knowledge and ITSM tooling.</t>
        </is>
      </c>
      <c r="I21" s="4" t="inlineStr">
        <is>
          <t>Task Order</t>
        </is>
      </c>
      <c r="J21" s="4" t="inlineStr">
        <is>
          <t>541512</t>
        </is>
      </c>
      <c r="K21" s="4" t="inlineStr">
        <is>
          <t>Computer Systems Design Services</t>
        </is>
      </c>
      <c r="L21" s="4" t="inlineStr">
        <is>
          <t>Full and Open</t>
        </is>
      </c>
      <c r="M21" s="4" t="inlineStr">
        <is>
          <t>At $8.6M, check USASpending for consistent annual obligations; help desk contracts typically run steadily.</t>
        </is>
      </c>
      <c r="N21" s="4" t="inlineStr">
        <is>
          <t>Search solicitation 36C10B24N10280028; ServiceNow or JIRA-based ticketing and VBA C&amp;P system knowledge likely required.</t>
        </is>
      </c>
      <c r="O21" s="8" t="inlineStr">
        <is>
          <t>Low</t>
        </is>
      </c>
      <c r="P21" s="4" t="inlineStr">
        <is>
          <t>3 bidders in a specialized VBA C&amp;P help desk niche; strong incumbent advantage due to system-specific knowledge.</t>
        </is>
      </c>
      <c r="Q21" s="4" t="inlineStr">
        <is>
          <t>C&amp;P exam modernization and VBA claims processing improvements drive ongoing technical support demand.</t>
        </is>
      </c>
      <c r="R21" s="4" t="inlineStr">
        <is>
          <t>1. Document any VA VBA or C&amp;P system experience.
2. Identify key personnel with VBA system knowledge for recruitment or teaming.</t>
        </is>
      </c>
      <c r="S21" s="4" t="inlineStr">
        <is>
          <t>https://www.highergov.com/contract/VA11816D1028-36C10B24N10280028/?ref=os</t>
        </is>
      </c>
      <c r="T21" s="4" t="inlineStr">
        <is>
          <t>https://www.usaspending.gov/search/?query=VA11816D1028-36C10B24N10280028</t>
        </is>
      </c>
    </row>
    <row r="22" ht="72" customHeight="1">
      <c r="A22" s="2" t="inlineStr">
        <is>
          <t>VA SPRUCE AGILE PRODUCT DESIGN AND DELIVERY SERVICES</t>
        </is>
      </c>
      <c r="B22" s="2" t="inlineStr">
        <is>
          <t>36C10B25D0008-36C10B25N00080002</t>
        </is>
      </c>
      <c r="C22" s="2" t="n">
        <v>9</v>
      </c>
      <c r="D22" s="2" t="n">
        <v>2</v>
      </c>
      <c r="E22" s="2" t="inlineStr">
        <is>
          <t>VA</t>
        </is>
      </c>
      <c r="F22" s="2" t="inlineStr">
        <is>
          <t>2026-04-02</t>
        </is>
      </c>
      <c r="G22" s="2" t="inlineStr">
        <is>
          <t>Civic tech boutique firm (likely same as companion Spruce TO)</t>
        </is>
      </c>
      <c r="H22" s="2" t="inlineStr">
        <is>
          <t>Second Spruce task order; very narrow bidder pool suggests incumbent has significant lock-in on this product team.</t>
        </is>
      </c>
      <c r="I22" s="2" t="inlineStr">
        <is>
          <t>Task Order</t>
        </is>
      </c>
      <c r="J22" s="2" t="inlineStr">
        <is>
          <t>541511</t>
        </is>
      </c>
      <c r="K22" s="2" t="inlineStr">
        <is>
          <t>Custom Computer Programming Services</t>
        </is>
      </c>
      <c r="L22" s="2" t="inlineStr">
        <is>
          <t>Full and Open</t>
        </is>
      </c>
      <c r="M22" s="2" t="inlineStr">
        <is>
          <t>Check USASpending for $9M utilization; compare to the other Spruce task order (36C10B25D0003) for scope differences.</t>
        </is>
      </c>
      <c r="N22" s="2" t="inlineStr">
        <is>
          <t>Search solicitation 36C10B25N00080002; likely very similar requirements to the companion Spruce task order.</t>
        </is>
      </c>
      <c r="O22" s="8" t="inlineStr">
        <is>
          <t>Very Low</t>
        </is>
      </c>
      <c r="P22" s="2" t="inlineStr">
        <is>
          <t>Only 2 bidders; with two Spruce task orders the incumbent likely holds both, making displacement very difficult.</t>
        </is>
      </c>
      <c r="Q22" s="2" t="inlineStr">
        <is>
          <t>Part of VA OCTO product team initiative; follow VA OCTO blog for Spruce team updates.</t>
        </is>
      </c>
      <c r="R22" s="2" t="inlineStr">
        <is>
          <t>1. Monitor for scope changes that might open the door to new entrants.
2. Focus energy on higher-competition opportunities with better odds.</t>
        </is>
      </c>
      <c r="S22" s="2" t="inlineStr">
        <is>
          <t>https://www.highergov.com/contract/36C10B25D0008-36C10B25N00080002/?ref=os</t>
        </is>
      </c>
      <c r="T22" s="2" t="inlineStr">
        <is>
          <t>https://www.usaspending.gov/search/?query=36C10B25D0008-36C10B25N00080002</t>
        </is>
      </c>
    </row>
    <row r="23" ht="72" customHeight="1">
      <c r="A23" s="4" t="inlineStr">
        <is>
          <t>VA EMPLOYEE EDUCATION SYSTEM BUSINESS INTELLIGENCE SUITE SUSTAINMENT</t>
        </is>
      </c>
      <c r="B23" s="4" t="inlineStr">
        <is>
          <t>36C10B21D1034-36C10B22N10340001</t>
        </is>
      </c>
      <c r="C23" s="4" t="n">
        <v>11.6</v>
      </c>
      <c r="D23" s="4" t="n">
        <v>2</v>
      </c>
      <c r="E23" s="4" t="inlineStr">
        <is>
          <t>VA</t>
        </is>
      </c>
      <c r="F23" s="4" t="inlineStr">
        <is>
          <t>2026-04-02</t>
        </is>
      </c>
      <c r="G23" s="4" t="inlineStr">
        <is>
          <t>TalentQuest or similar learning/BI firm</t>
        </is>
      </c>
      <c r="H23" s="4" t="inlineStr">
        <is>
          <t>EES BI sustainment is a niche contract combining learning management and BI; very few firms have this combination.</t>
        </is>
      </c>
      <c r="I23" s="4" t="inlineStr">
        <is>
          <t>Task Order</t>
        </is>
      </c>
      <c r="J23" s="4" t="inlineStr">
        <is>
          <t>611430</t>
        </is>
      </c>
      <c r="K23" s="4" t="inlineStr">
        <is>
          <t>Professional and Management Development Training</t>
        </is>
      </c>
      <c r="L23" s="4" t="inlineStr">
        <is>
          <t>Full and Open</t>
        </is>
      </c>
      <c r="M23" s="4" t="inlineStr">
        <is>
          <t>Check USASpending for $11.6M ceiling utilization; EES is a legacy VA training system requiring niche expertise.</t>
        </is>
      </c>
      <c r="N23" s="4" t="inlineStr">
        <is>
          <t>Search solicitation 36C10B22N10340001; look for VA Talent Management System (TMS) and BI reporting requirements.</t>
        </is>
      </c>
      <c r="O23" s="8" t="inlineStr">
        <is>
          <t>Very Low</t>
        </is>
      </c>
      <c r="P23" s="4" t="inlineStr">
        <is>
          <t>2 bidders on a niche legacy EES BI sustainment; incumbent's system-specific knowledge makes this very sticky.</t>
        </is>
      </c>
      <c r="Q23" s="4" t="inlineStr">
        <is>
          <t>VA TMS modernization may affect scope of this contract; monitor VA HR transformation announcements.</t>
        </is>
      </c>
      <c r="R23" s="4" t="inlineStr">
        <is>
          <t>1. Assess Verve's learning management or BI sustainment experience.
2. Contact the VA TMS program office to understand future direction.</t>
        </is>
      </c>
      <c r="S23" s="4" t="inlineStr">
        <is>
          <t>https://www.highergov.com/contract/36C10B21D1034-36C10B22N10340001/?ref=os</t>
        </is>
      </c>
      <c r="T23" s="4" t="inlineStr">
        <is>
          <t>https://www.usaspending.gov/search/?query=36C10B21D1034-36C10B22N10340001</t>
        </is>
      </c>
    </row>
    <row r="24" ht="72" customHeight="1">
      <c r="A24" s="2" t="inlineStr">
        <is>
          <t>VA SYSTEMS QUALITY ASSURANCE SERVICE (SQAS) IV&amp;V SUPPORT</t>
        </is>
      </c>
      <c r="B24" s="2" t="inlineStr">
        <is>
          <t>VA11816D1024-36C10B22N10240024</t>
        </is>
      </c>
      <c r="C24" s="2" t="n">
        <v>10</v>
      </c>
      <c r="D24" s="2" t="n">
        <v>2</v>
      </c>
      <c r="E24" s="2" t="inlineStr">
        <is>
          <t>VA</t>
        </is>
      </c>
      <c r="F24" s="2" t="inlineStr">
        <is>
          <t>2026-04-02</t>
        </is>
      </c>
      <c r="G24" s="2" t="inlineStr">
        <is>
          <t>Booz Allen or Jacobs (likely)</t>
        </is>
      </c>
      <c r="H24" s="2" t="inlineStr">
        <is>
          <t>IV&amp;V support requires independent firms with no conflict of interest; Booz Allen and Jacobs have strong federal IV&amp;V track records.</t>
        </is>
      </c>
      <c r="I24" s="2" t="inlineStr">
        <is>
          <t>Task Order</t>
        </is>
      </c>
      <c r="J24" s="2" t="inlineStr">
        <is>
          <t>541519</t>
        </is>
      </c>
      <c r="K24" s="2" t="inlineStr">
        <is>
          <t>Other Computer Related Services</t>
        </is>
      </c>
      <c r="L24" s="2" t="inlineStr">
        <is>
          <t>Full and Open</t>
        </is>
      </c>
      <c r="M24" s="2" t="inlineStr">
        <is>
          <t>Check USASpending for $10M ceiling utilization; IV&amp;V work is typically steady-state with annual assessment cycles.</t>
        </is>
      </c>
      <c r="N24" s="2" t="inlineStr">
        <is>
          <t>Search solicitation 36C10B22N10240024; independence requirements and CMMI or IEEE standards likely in the PWS.</t>
        </is>
      </c>
      <c r="O24" s="8" t="inlineStr">
        <is>
          <t>Very Low</t>
        </is>
      </c>
      <c r="P24" s="2" t="inlineStr">
        <is>
          <t>2 bidders for specialized independent verification work; IV&amp;V independence requirements narrow the field significantly.</t>
        </is>
      </c>
      <c r="Q24" s="2" t="inlineStr">
        <is>
          <t>VA systems quality and IV&amp;V is tied to GAO and IG oversight of major IT programs.</t>
        </is>
      </c>
      <c r="R24" s="2" t="inlineStr">
        <is>
          <t>1. Document Verve's IV&amp;V methodology and independence credentials.
2. Confirm no OCI with VA development contracts.</t>
        </is>
      </c>
      <c r="S24" s="2" t="inlineStr">
        <is>
          <t>https://www.highergov.com/contract/VA11816D1024-36C10B22N10240024/?ref=os</t>
        </is>
      </c>
      <c r="T24" s="2" t="inlineStr">
        <is>
          <t>https://www.usaspending.gov/search/?query=VA11816D1024-36C10B22N10240024</t>
        </is>
      </c>
    </row>
    <row r="25" ht="72" customHeight="1">
      <c r="A25" s="4" t="inlineStr">
        <is>
          <t>VA.GOV PLATFORM AWARD AND OPTIONAL TASK EXERCISE</t>
        </is>
      </c>
      <c r="B25" s="4" t="inlineStr">
        <is>
          <t>GS35F666GA-36C10B22F0126</t>
        </is>
      </c>
      <c r="C25" s="4" t="n">
        <v>91</v>
      </c>
      <c r="D25" s="4" t="n">
        <v>2</v>
      </c>
      <c r="E25" s="4" t="inlineStr">
        <is>
          <t>VA</t>
        </is>
      </c>
      <c r="F25" s="4" t="inlineStr">
        <is>
          <t>2026-04-02</t>
        </is>
      </c>
      <c r="G25" s="4" t="inlineStr">
        <is>
          <t>Ad Hoc LLC</t>
        </is>
      </c>
      <c r="H25" s="4" t="inlineStr">
        <is>
          <t>Ad Hoc LLC is the leading VA.gov platform developer; they have been central to the VA.gov modernization since its inception.</t>
        </is>
      </c>
      <c r="I25" s="4" t="inlineStr">
        <is>
          <t>Task Order (GSA Schedule)</t>
        </is>
      </c>
      <c r="J25" s="4" t="inlineStr">
        <is>
          <t>541511</t>
        </is>
      </c>
      <c r="K25" s="4" t="inlineStr">
        <is>
          <t>Custom Computer Programming Services</t>
        </is>
      </c>
      <c r="L25" s="4" t="inlineStr">
        <is>
          <t>Full and Open</t>
        </is>
      </c>
      <c r="M25" s="4" t="inlineStr">
        <is>
          <t>Check USASpending for $91M ceiling utilization; VA.gov platform is mission-critical and likely fully obligated.</t>
        </is>
      </c>
      <c r="N25" s="4" t="inlineStr">
        <is>
          <t>Parent is GSA Schedule GS35F666GA; contact VA OCTO for platform requirements and roadmap.</t>
        </is>
      </c>
      <c r="O25" s="8" t="inlineStr">
        <is>
          <t>Very Low</t>
        </is>
      </c>
      <c r="P25" s="4" t="inlineStr">
        <is>
          <t>$91M with only 2 bidders — Ad Hoc is deeply embedded in VA.gov; displacement risk for incumbent is very low.</t>
        </is>
      </c>
      <c r="Q25" s="4" t="inlineStr">
        <is>
          <t>VA.gov is the central veteran-facing digital platform; Ad Hoc's role is extensively covered in GovCon and civic tech media.</t>
        </is>
      </c>
      <c r="R25" s="4" t="inlineStr">
        <is>
          <t>1. Explore subcontracting with Ad Hoc on VA.gov.
2. Position for adjacent platform work rather than direct competition.</t>
        </is>
      </c>
      <c r="S25" s="4" t="inlineStr">
        <is>
          <t>https://www.highergov.com/contract/GS35F666GA-36C10B22F0126/?ref=os</t>
        </is>
      </c>
      <c r="T25" s="4" t="inlineStr">
        <is>
          <t>https://www.usaspending.gov/search/?query=GS35F666GA-36C10B22F0126</t>
        </is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9" t="inlineStr">
        <is>
          <t>Pipeline Summary</t>
        </is>
      </c>
    </row>
    <row r="2">
      <c r="A2" s="10" t="inlineStr">
        <is>
          <t>Agency</t>
        </is>
      </c>
      <c r="B2" s="11" t="inlineStr">
        <is>
          <t>VA</t>
        </is>
      </c>
    </row>
    <row r="3">
      <c r="A3" s="10" t="inlineStr">
        <is>
          <t>Date Retrieved</t>
        </is>
      </c>
      <c r="B3" s="11" t="inlineStr">
        <is>
          <t>2026-04-02</t>
        </is>
      </c>
    </row>
    <row r="4">
      <c r="A4" s="10" t="inlineStr">
        <is>
          <t>Total Contracts</t>
        </is>
      </c>
      <c r="B4" s="11">
        <f>COUNTA('VA_2026-04-02'!A2:A1000)</f>
        <v/>
      </c>
    </row>
    <row r="5">
      <c r="A5" s="10" t="inlineStr">
        <is>
          <t>Total Value ($M)</t>
        </is>
      </c>
      <c r="B5" s="11">
        <f>SUM('VA_2026-04-02'!C2:C1000)</f>
        <v/>
      </c>
    </row>
    <row r="6">
      <c r="A6" s="10" t="inlineStr">
        <is>
          <t>Avg Bidders</t>
        </is>
      </c>
      <c r="B6" s="11">
        <f>AVERAGE('VA_2026-04-02'!D2:D1000)</f>
        <v/>
      </c>
    </row>
    <row r="7">
      <c r="A7" s="10" t="inlineStr">
        <is>
          <t>High Risk</t>
        </is>
      </c>
      <c r="B7" s="11">
        <f>COUNTIF('VA_2026-04-02'!O2:O1000,"High")</f>
        <v/>
      </c>
    </row>
    <row r="8">
      <c r="A8" s="10" t="inlineStr">
        <is>
          <t>Medium-High Risk</t>
        </is>
      </c>
      <c r="B8" s="11">
        <f>COUNTIF('VA_2026-04-02'!O2:O1000,"Medium-High")</f>
        <v/>
      </c>
    </row>
    <row r="9">
      <c r="A9" s="10" t="inlineStr">
        <is>
          <t>Medium Risk</t>
        </is>
      </c>
      <c r="B9" s="11">
        <f>COUNTIF('VA_2026-04-02'!O2:O1000,"Medium")</f>
        <v/>
      </c>
    </row>
    <row r="10">
      <c r="A10" s="10" t="inlineStr">
        <is>
          <t>Low-Medium Risk</t>
        </is>
      </c>
      <c r="B10" s="11">
        <f>COUNTIF('VA_2026-04-02'!O2:O1000,"Low-Medium")</f>
        <v/>
      </c>
    </row>
    <row r="11">
      <c r="A11" s="10" t="inlineStr">
        <is>
          <t>Low Risk</t>
        </is>
      </c>
      <c r="B11" s="11">
        <f>COUNTIF('VA_2026-04-02'!O2:O1000,"Low")</f>
        <v/>
      </c>
    </row>
    <row r="12">
      <c r="A12" s="10" t="inlineStr">
        <is>
          <t>Very Low Risk</t>
        </is>
      </c>
      <c r="B12" s="11">
        <f>COUNTIF('VA_2026-04-02'!O2:O1000,"Very Low")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2026-04-02T20:01:18Z</dcterms:created>
  <dcterms:modified xmlns:dcterms="http://purl.org/dc/terms/" xmlns:xsi="http://www.w3.org/2001/XMLSchema-instance" xsi:type="dcterms:W3CDTF">2026-04-02T20:01:18Z</dcterms:modified>
</cp:coreProperties>
</file>